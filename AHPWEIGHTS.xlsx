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9126307315 MohmmadZ\Desktop\university\مقاله باتری1\"/>
    </mc:Choice>
  </mc:AlternateContent>
  <xr:revisionPtr revIDLastSave="0" documentId="13_ncr:1_{A62049D7-D978-47AC-A837-29C1C499F109}" xr6:coauthVersionLast="47" xr6:coauthVersionMax="47" xr10:uidLastSave="{00000000-0000-0000-0000-000000000000}"/>
  <bookViews>
    <workbookView xWindow="-120" yWindow="-120" windowWidth="51840" windowHeight="21240" activeTab="2" xr2:uid="{00000000-000D-0000-FFFF-FFFF00000000}"/>
  </bookViews>
  <sheets>
    <sheet name="AHPMainCriteria" sheetId="1" r:id="rId1"/>
    <sheet name="DecisionMatrix" sheetId="2" r:id="rId2"/>
    <sheet name="TOPSIS" sheetId="3" r:id="rId3"/>
    <sheet name="SensitivityAnalysis" sheetId="4" r:id="rId4"/>
    <sheet name="SensitivityC3" sheetId="5" r:id="rId5"/>
    <sheet name="SensitivityC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B12" i="1"/>
  <c r="K5" i="1"/>
  <c r="K3" i="1"/>
  <c r="K2" i="1" a="1"/>
  <c r="K2" i="1"/>
  <c r="H12" i="1"/>
  <c r="H13" i="1"/>
  <c r="H14" i="1"/>
  <c r="H15" i="1"/>
  <c r="A29" i="3"/>
  <c r="A47" i="3" s="1"/>
  <c r="E28" i="3"/>
  <c r="E46" i="3" s="1"/>
  <c r="D28" i="3"/>
  <c r="D46" i="3" s="1"/>
  <c r="A28" i="3"/>
  <c r="A46" i="3" s="1"/>
  <c r="F27" i="3"/>
  <c r="F45" i="3" s="1"/>
  <c r="E27" i="3"/>
  <c r="E45" i="3" s="1"/>
  <c r="A27" i="3"/>
  <c r="A45" i="3" s="1"/>
  <c r="F26" i="3"/>
  <c r="F44" i="3" s="1"/>
  <c r="A26" i="3"/>
  <c r="A44" i="3" s="1"/>
  <c r="A25" i="3"/>
  <c r="A43" i="3" s="1"/>
  <c r="E24" i="3"/>
  <c r="E42" i="3" s="1"/>
  <c r="D24" i="3"/>
  <c r="D42" i="3" s="1"/>
  <c r="A24" i="3"/>
  <c r="A42" i="3" s="1"/>
  <c r="F23" i="3"/>
  <c r="F41" i="3" s="1"/>
  <c r="E23" i="3"/>
  <c r="E41" i="3" s="1"/>
  <c r="A23" i="3"/>
  <c r="A41" i="3" s="1"/>
  <c r="F22" i="3"/>
  <c r="F40" i="3" s="1"/>
  <c r="A22" i="3"/>
  <c r="A40" i="3" s="1"/>
  <c r="A21" i="3"/>
  <c r="A39" i="3" s="1"/>
  <c r="E20" i="3"/>
  <c r="E38" i="3" s="1"/>
  <c r="D20" i="3"/>
  <c r="D38" i="3" s="1"/>
  <c r="A20" i="3"/>
  <c r="A38" i="3" s="1"/>
  <c r="F19" i="3"/>
  <c r="F37" i="3" s="1"/>
  <c r="E19" i="3"/>
  <c r="E37" i="3" s="1"/>
  <c r="A19" i="3"/>
  <c r="A37" i="3" s="1"/>
  <c r="F18" i="3"/>
  <c r="F36" i="3" s="1"/>
  <c r="A18" i="3"/>
  <c r="A36" i="3" s="1"/>
  <c r="J2" i="3"/>
  <c r="F29" i="3" s="1"/>
  <c r="F47" i="3" s="1"/>
  <c r="I2" i="3"/>
  <c r="E26" i="3" s="1"/>
  <c r="E44" i="3" s="1"/>
  <c r="H2" i="3"/>
  <c r="D27" i="3" s="1"/>
  <c r="D45" i="3" s="1"/>
  <c r="G2" i="3"/>
  <c r="C28" i="3" s="1"/>
  <c r="C46" i="3" s="1"/>
  <c r="E15" i="1"/>
  <c r="C14" i="1"/>
  <c r="B14" i="1"/>
  <c r="E13" i="1"/>
  <c r="C12" i="1"/>
  <c r="G6" i="1"/>
  <c r="E14" i="1" s="1"/>
  <c r="F6" i="1"/>
  <c r="G5" i="1"/>
  <c r="D14" i="1" s="1"/>
  <c r="F5" i="1"/>
  <c r="G4" i="1"/>
  <c r="C15" i="1" s="1"/>
  <c r="F4" i="1"/>
  <c r="G3" i="1"/>
  <c r="B15" i="1" s="1"/>
  <c r="F3" i="1"/>
  <c r="D13" i="1" l="1"/>
  <c r="D15" i="1"/>
  <c r="G14" i="1"/>
  <c r="C21" i="3"/>
  <c r="C39" i="3" s="1"/>
  <c r="C25" i="3"/>
  <c r="C43" i="3" s="1"/>
  <c r="C29" i="3"/>
  <c r="C47" i="3" s="1"/>
  <c r="D12" i="1"/>
  <c r="B13" i="1"/>
  <c r="D18" i="3"/>
  <c r="D36" i="3" s="1"/>
  <c r="C19" i="3"/>
  <c r="C37" i="3" s="1"/>
  <c r="F20" i="3"/>
  <c r="F38" i="3" s="1"/>
  <c r="F55" i="3" s="1"/>
  <c r="E21" i="3"/>
  <c r="E39" i="3" s="1"/>
  <c r="D22" i="3"/>
  <c r="D40" i="3" s="1"/>
  <c r="C23" i="3"/>
  <c r="C41" i="3" s="1"/>
  <c r="F24" i="3"/>
  <c r="F42" i="3" s="1"/>
  <c r="E25" i="3"/>
  <c r="E43" i="3" s="1"/>
  <c r="D26" i="3"/>
  <c r="D44" i="3" s="1"/>
  <c r="C27" i="3"/>
  <c r="C45" i="3" s="1"/>
  <c r="F28" i="3"/>
  <c r="F46" i="3" s="1"/>
  <c r="E29" i="3"/>
  <c r="E47" i="3" s="1"/>
  <c r="C18" i="3"/>
  <c r="C36" i="3" s="1"/>
  <c r="D21" i="3"/>
  <c r="D39" i="3" s="1"/>
  <c r="C22" i="3"/>
  <c r="C40" i="3" s="1"/>
  <c r="D25" i="3"/>
  <c r="D43" i="3" s="1"/>
  <c r="C26" i="3"/>
  <c r="C44" i="3" s="1"/>
  <c r="D29" i="3"/>
  <c r="D47" i="3" s="1"/>
  <c r="E12" i="1"/>
  <c r="C13" i="1"/>
  <c r="E18" i="3"/>
  <c r="E36" i="3" s="1"/>
  <c r="D19" i="3"/>
  <c r="D37" i="3" s="1"/>
  <c r="C20" i="3"/>
  <c r="C38" i="3" s="1"/>
  <c r="F21" i="3"/>
  <c r="F39" i="3" s="1"/>
  <c r="E22" i="3"/>
  <c r="E40" i="3" s="1"/>
  <c r="D23" i="3"/>
  <c r="D41" i="3" s="1"/>
  <c r="C24" i="3"/>
  <c r="C42" i="3" s="1"/>
  <c r="F25" i="3"/>
  <c r="F43" i="3" s="1"/>
  <c r="C62" i="3" l="1" a="1"/>
  <c r="C62" i="3" s="1"/>
  <c r="E56" i="3"/>
  <c r="C63" i="3" s="1" a="1"/>
  <c r="C63" i="3" s="1"/>
  <c r="E55" i="3"/>
  <c r="B63" i="3" s="1" a="1"/>
  <c r="B63" i="3" s="1"/>
  <c r="C55" i="3"/>
  <c r="C56" i="3"/>
  <c r="C61" i="3" s="1" a="1"/>
  <c r="C61" i="3" s="1"/>
  <c r="D61" i="3" s="1"/>
  <c r="B61" i="3" a="1"/>
  <c r="B61" i="3" s="1"/>
  <c r="D56" i="3"/>
  <c r="D55" i="3"/>
  <c r="B62" i="3" s="1" a="1"/>
  <c r="B62" i="3" s="1"/>
  <c r="F56" i="3"/>
  <c r="C64" i="3" s="1" a="1"/>
  <c r="C64" i="3" s="1"/>
  <c r="D64" i="3" s="1"/>
  <c r="G15" i="1"/>
  <c r="B64" i="3" a="1"/>
  <c r="B64" i="3" s="1"/>
  <c r="G13" i="1"/>
  <c r="D63" i="3" l="1"/>
  <c r="D6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<sst xmlns="http://schemas.openxmlformats.org/spreadsheetml/2006/main" count="106" uniqueCount="54">
  <si>
    <t>C1</t>
  </si>
  <si>
    <t>C2</t>
  </si>
  <si>
    <t>C3</t>
  </si>
  <si>
    <t>C4</t>
  </si>
  <si>
    <t>Column Sum</t>
  </si>
  <si>
    <t>Lambda Max</t>
  </si>
  <si>
    <t>CI</t>
  </si>
  <si>
    <t>RI</t>
  </si>
  <si>
    <t>CR</t>
  </si>
  <si>
    <t>Normalized Matrix</t>
  </si>
  <si>
    <t>Weights</t>
  </si>
  <si>
    <t>Code</t>
  </si>
  <si>
    <t>Criteria</t>
  </si>
  <si>
    <t>Weight</t>
  </si>
  <si>
    <t>BEV</t>
  </si>
  <si>
    <t>HEV</t>
  </si>
  <si>
    <t>PHEV</t>
  </si>
  <si>
    <t>EREV</t>
  </si>
  <si>
    <t>C1-1</t>
  </si>
  <si>
    <t>Energy &amp; Driving Range</t>
  </si>
  <si>
    <t>C1-2</t>
  </si>
  <si>
    <t>Power Capability</t>
  </si>
  <si>
    <t>C1-3</t>
  </si>
  <si>
    <t>System Efficiency</t>
  </si>
  <si>
    <t>C2-1</t>
  </si>
  <si>
    <t>Geometric Compatibility</t>
  </si>
  <si>
    <t>C2-2</t>
  </si>
  <si>
    <t>Minimum Structural Modification</t>
  </si>
  <si>
    <t>C2-3</t>
  </si>
  <si>
    <t>Integration Complexity</t>
  </si>
  <si>
    <t>C3-1</t>
  </si>
  <si>
    <t>Thermal Stability</t>
  </si>
  <si>
    <t>C3-2</t>
  </si>
  <si>
    <t>Cycle Life</t>
  </si>
  <si>
    <t>C3-3</t>
  </si>
  <si>
    <t>Crash Safety</t>
  </si>
  <si>
    <t>C4-1</t>
  </si>
  <si>
    <t>Battery Cost</t>
  </si>
  <si>
    <t>C4-2</t>
  </si>
  <si>
    <t>Development Cost</t>
  </si>
  <si>
    <t>C4-3</t>
  </si>
  <si>
    <t>CO2 Emission Reduction</t>
  </si>
  <si>
    <t>Normalization</t>
  </si>
  <si>
    <t>Weighted Normalized Matrix</t>
  </si>
  <si>
    <t>Ideal Best</t>
  </si>
  <si>
    <t>Ideal Worst</t>
  </si>
  <si>
    <t>Alternative</t>
  </si>
  <si>
    <t>S+</t>
  </si>
  <si>
    <t>S-</t>
  </si>
  <si>
    <t>CC</t>
  </si>
  <si>
    <t>C1 Variation %</t>
  </si>
  <si>
    <t>C3 Variation %</t>
  </si>
  <si>
    <t>C4 Variation %</t>
  </si>
  <si>
    <t>Pairwise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</si>
</sst>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3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G31" sqref="G31"/>
    </sheetView>
  </sheetViews>
  <sheetFormatPr defaultRowHeight="15" x14ac:dyDescent="0.25"/>
  <cols>
    <col min="1" max="2" width="17.5703125" style="2" customWidth="1"/>
    <col min="3" max="5" width="17.5703125" customWidth="1"/>
    <col min="6" max="11" width="17.5703125" style="2" customWidth="1"/>
    <col min="12" max="12" width="17.5703125" customWidth="1"/>
  </cols>
  <sheetData>
    <row r="1" spans="1:11" x14ac:dyDescent="0.25">
      <c r="A1" s="7" t="s">
        <v>53</v>
      </c>
      <c r="B1" s="7"/>
      <c r="C1" s="7"/>
      <c r="D1" s="7"/>
      <c r="E1" s="7"/>
      <c r="F1" s="7"/>
      <c r="G1" s="7"/>
      <c r="H1" s="7"/>
      <c r="I1" s="7"/>
      <c r="J1" s="7"/>
      <c r="K1" s="1"/>
    </row>
    <row r="2" spans="1:11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3"/>
      <c r="I2" s="3"/>
      <c r="J2" s="3" t="s">
        <v>5</v>
      </c>
      <c r="K2" s="10" cm="1">
        <f t="array" ref="K2">AVERAGE((MMULT(B3:E6,H12:H15))/H12:H15)</f>
        <v>4.0000002296069894</v>
      </c>
    </row>
    <row r="3" spans="1:11" x14ac:dyDescent="0.25">
      <c r="A3" s="3" t="s">
        <v>0</v>
      </c>
      <c r="B3" s="6">
        <v>1</v>
      </c>
      <c r="C3" s="6">
        <v>1.1851849999999999</v>
      </c>
      <c r="D3" s="6">
        <v>1.3913040000000001</v>
      </c>
      <c r="E3" s="6">
        <v>1.7777780000000001</v>
      </c>
      <c r="F3" s="6">
        <f>SUM(B3:B6)</f>
        <v>3.125</v>
      </c>
      <c r="G3" s="6">
        <f>SUM(B3:B6)</f>
        <v>3.125</v>
      </c>
      <c r="H3" s="3"/>
      <c r="I3" s="3"/>
      <c r="J3" s="3" t="s">
        <v>6</v>
      </c>
      <c r="K3" s="10">
        <f>(K2-4)/(4-1)</f>
        <v>7.6535663140475663E-8</v>
      </c>
    </row>
    <row r="4" spans="1:11" x14ac:dyDescent="0.25">
      <c r="A4" s="3" t="s">
        <v>1</v>
      </c>
      <c r="B4" s="6">
        <v>0.84375</v>
      </c>
      <c r="C4" s="6">
        <v>1</v>
      </c>
      <c r="D4" s="6">
        <v>1.173913</v>
      </c>
      <c r="E4" s="6">
        <v>1.5</v>
      </c>
      <c r="F4" s="6">
        <f>SUM(C3:C6)</f>
        <v>3.7037039999999997</v>
      </c>
      <c r="G4" s="6">
        <f>SUM(C3:C6)</f>
        <v>3.7037039999999997</v>
      </c>
      <c r="H4" s="3"/>
      <c r="I4" s="3"/>
      <c r="J4" s="3" t="s">
        <v>7</v>
      </c>
      <c r="K4" s="10">
        <v>0.9</v>
      </c>
    </row>
    <row r="5" spans="1:11" x14ac:dyDescent="0.25">
      <c r="A5" s="3" t="s">
        <v>2</v>
      </c>
      <c r="B5" s="6">
        <v>0.71875</v>
      </c>
      <c r="C5" s="6">
        <v>0.85185200000000005</v>
      </c>
      <c r="D5" s="6">
        <v>1</v>
      </c>
      <c r="E5" s="6">
        <v>1.2777780000000001</v>
      </c>
      <c r="F5" s="6">
        <f>SUM(D3:D6)</f>
        <v>4.3478260000000004</v>
      </c>
      <c r="G5" s="6">
        <f>SUM(D3:D6)</f>
        <v>4.3478260000000004</v>
      </c>
      <c r="H5" s="3"/>
      <c r="I5" s="3"/>
      <c r="J5" s="3" t="s">
        <v>8</v>
      </c>
      <c r="K5" s="10">
        <f>K3/K4</f>
        <v>8.503962571163963E-8</v>
      </c>
    </row>
    <row r="6" spans="1:11" x14ac:dyDescent="0.25">
      <c r="A6" s="3" t="s">
        <v>3</v>
      </c>
      <c r="B6" s="6">
        <v>0.5625</v>
      </c>
      <c r="C6" s="6">
        <v>0.66666700000000001</v>
      </c>
      <c r="D6" s="6">
        <v>0.782609</v>
      </c>
      <c r="E6" s="6">
        <v>1</v>
      </c>
      <c r="F6" s="6">
        <f>SUM(E3:E6)</f>
        <v>5.5555560000000002</v>
      </c>
      <c r="G6" s="6">
        <f>SUM(E3:E6)</f>
        <v>5.5555560000000002</v>
      </c>
      <c r="H6" s="3"/>
      <c r="I6" s="3"/>
      <c r="J6" s="3"/>
      <c r="K6" s="1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1"/>
    </row>
    <row r="9" spans="1:11" x14ac:dyDescent="0.25">
      <c r="A9" s="3" t="s">
        <v>9</v>
      </c>
      <c r="B9" s="3"/>
      <c r="C9" s="3"/>
      <c r="D9" s="3"/>
      <c r="E9" s="3"/>
      <c r="F9" s="3"/>
      <c r="G9" s="3"/>
      <c r="H9" s="3"/>
      <c r="I9" s="3"/>
      <c r="J9" s="3"/>
      <c r="K9" s="1"/>
    </row>
    <row r="10" spans="1:11" x14ac:dyDescent="0.25">
      <c r="A10" s="3"/>
      <c r="B10" s="3" t="s">
        <v>0</v>
      </c>
      <c r="C10" s="3" t="s">
        <v>1</v>
      </c>
      <c r="D10" s="3" t="s">
        <v>2</v>
      </c>
      <c r="E10" s="3" t="s">
        <v>3</v>
      </c>
      <c r="F10" s="3"/>
      <c r="G10" s="3"/>
      <c r="H10" s="3"/>
      <c r="I10" s="3"/>
      <c r="J10" s="3"/>
      <c r="K10" s="1"/>
    </row>
    <row r="11" spans="1:11" x14ac:dyDescent="0.25">
      <c r="A11" s="3"/>
      <c r="B11" s="3"/>
      <c r="C11" s="3"/>
      <c r="D11" s="3"/>
      <c r="E11" s="3"/>
      <c r="F11" s="3"/>
      <c r="G11" s="11" t="s">
        <v>10</v>
      </c>
      <c r="H11" s="11"/>
      <c r="I11" s="11" t="s">
        <v>10</v>
      </c>
      <c r="J11" s="3"/>
      <c r="K11" s="1"/>
    </row>
    <row r="12" spans="1:11" x14ac:dyDescent="0.25">
      <c r="A12" s="3" t="s">
        <v>0</v>
      </c>
      <c r="B12" s="6">
        <f>B3/$G$3</f>
        <v>0.32</v>
      </c>
      <c r="C12" s="6">
        <f>C3/$G$4</f>
        <v>0.31999992440000607</v>
      </c>
      <c r="D12" s="6">
        <f>D3/$G$5</f>
        <v>0.31999992639999852</v>
      </c>
      <c r="E12" s="6">
        <f>E3/$G$6</f>
        <v>0.32000001439999887</v>
      </c>
      <c r="F12" s="3"/>
      <c r="G12" s="12">
        <f>AVERAGE(B12:E12)</f>
        <v>0.31999996630000088</v>
      </c>
      <c r="H12" s="12">
        <f>AVERAGE(B12:E12)</f>
        <v>0.31999996630000088</v>
      </c>
      <c r="I12" s="11" t="s">
        <v>0</v>
      </c>
      <c r="J12" s="3"/>
      <c r="K12" s="1"/>
    </row>
    <row r="13" spans="1:11" x14ac:dyDescent="0.25">
      <c r="A13" s="3" t="s">
        <v>1</v>
      </c>
      <c r="B13" s="6">
        <f>B4/$G$3</f>
        <v>0.27</v>
      </c>
      <c r="C13" s="6">
        <f>C4/$G$4</f>
        <v>0.26999997840000173</v>
      </c>
      <c r="D13" s="6">
        <f>D4/$G$5</f>
        <v>0.26999999539999986</v>
      </c>
      <c r="E13" s="6">
        <f>E4/$G$6</f>
        <v>0.26999997840000173</v>
      </c>
      <c r="F13" s="3"/>
      <c r="G13" s="12">
        <f>AVERAGE(B13:E13)</f>
        <v>0.26999998805000086</v>
      </c>
      <c r="H13" s="12">
        <f>AVERAGE(B13:E13)</f>
        <v>0.26999998805000086</v>
      </c>
      <c r="I13" s="11" t="s">
        <v>1</v>
      </c>
      <c r="J13" s="3"/>
      <c r="K13" s="1"/>
    </row>
    <row r="14" spans="1:11" x14ac:dyDescent="0.25">
      <c r="A14" s="3" t="s">
        <v>2</v>
      </c>
      <c r="B14" s="6">
        <f>B5/$G$3</f>
        <v>0.23</v>
      </c>
      <c r="C14" s="6">
        <f>C5/$G$4</f>
        <v>0.2300000215999983</v>
      </c>
      <c r="D14" s="6">
        <f>D5/$G$5</f>
        <v>0.23000000460000006</v>
      </c>
      <c r="E14" s="6">
        <f>E5/$G$6</f>
        <v>0.23000002159999827</v>
      </c>
      <c r="F14" s="3"/>
      <c r="G14" s="12">
        <f>AVERAGE(B14:E14)</f>
        <v>0.23000001194999914</v>
      </c>
      <c r="H14" s="12">
        <f>AVERAGE(B14:E14)</f>
        <v>0.23000001194999914</v>
      </c>
      <c r="I14" s="11" t="s">
        <v>2</v>
      </c>
      <c r="J14" s="3"/>
      <c r="K14" s="1"/>
    </row>
    <row r="15" spans="1:11" x14ac:dyDescent="0.25">
      <c r="A15" s="3" t="s">
        <v>3</v>
      </c>
      <c r="B15" s="6">
        <f>B6/$G$3</f>
        <v>0.18</v>
      </c>
      <c r="C15" s="6">
        <f>C6/$G$4</f>
        <v>0.18000007559999398</v>
      </c>
      <c r="D15" s="6">
        <f>D6/$G$5</f>
        <v>0.18000007360000145</v>
      </c>
      <c r="E15" s="6">
        <f>E6/$G$6</f>
        <v>0.17999998560000113</v>
      </c>
      <c r="F15" s="3"/>
      <c r="G15" s="12">
        <f>AVERAGE(B15:E15)</f>
        <v>0.18000003369999912</v>
      </c>
      <c r="H15" s="12">
        <f>AVERAGE(B15:E15)</f>
        <v>0.18000003369999912</v>
      </c>
      <c r="I15" s="11" t="s">
        <v>3</v>
      </c>
      <c r="J15" s="3"/>
      <c r="K15" s="1"/>
    </row>
    <row r="16" spans="1:11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C26" sqref="C26"/>
    </sheetView>
  </sheetViews>
  <sheetFormatPr defaultRowHeight="15" x14ac:dyDescent="0.25"/>
  <cols>
    <col min="1" max="1" width="5.5703125" style="5" bestFit="1" customWidth="1"/>
    <col min="2" max="2" width="37" style="5" customWidth="1"/>
    <col min="3" max="7" width="26" style="5" customWidth="1"/>
    <col min="8" max="8" width="9.140625" style="5"/>
  </cols>
  <sheetData>
    <row r="1" spans="1:7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</row>
    <row r="2" spans="1:7" x14ac:dyDescent="0.25">
      <c r="A2" s="4" t="s">
        <v>18</v>
      </c>
      <c r="B2" s="4" t="s">
        <v>19</v>
      </c>
      <c r="C2" s="4">
        <v>9.6000000000000002E-2</v>
      </c>
      <c r="D2" s="4">
        <v>9</v>
      </c>
      <c r="E2" s="4">
        <v>6</v>
      </c>
      <c r="F2" s="4">
        <v>7.5</v>
      </c>
      <c r="G2" s="4">
        <v>8.1999999999999993</v>
      </c>
    </row>
    <row r="3" spans="1:7" x14ac:dyDescent="0.25">
      <c r="A3" s="4" t="s">
        <v>20</v>
      </c>
      <c r="B3" s="4" t="s">
        <v>21</v>
      </c>
      <c r="C3" s="4">
        <v>7.0000000000000007E-2</v>
      </c>
      <c r="D3" s="4">
        <v>8.5</v>
      </c>
      <c r="E3" s="4">
        <v>6.5</v>
      </c>
      <c r="F3" s="4">
        <v>7.8</v>
      </c>
      <c r="G3" s="4">
        <v>8</v>
      </c>
    </row>
    <row r="4" spans="1:7" x14ac:dyDescent="0.25">
      <c r="A4" s="4" t="s">
        <v>22</v>
      </c>
      <c r="B4" s="4" t="s">
        <v>23</v>
      </c>
      <c r="C4" s="4">
        <v>5.3999999999999999E-2</v>
      </c>
      <c r="D4" s="4">
        <v>8.1999999999999993</v>
      </c>
      <c r="E4" s="4">
        <v>6.8</v>
      </c>
      <c r="F4" s="4">
        <v>7.5</v>
      </c>
      <c r="G4" s="4">
        <v>7.9</v>
      </c>
    </row>
    <row r="5" spans="1:7" x14ac:dyDescent="0.25">
      <c r="A5" s="4" t="s">
        <v>24</v>
      </c>
      <c r="B5" s="4" t="s">
        <v>25</v>
      </c>
      <c r="C5" s="4">
        <v>7.4999999999999997E-2</v>
      </c>
      <c r="D5" s="4">
        <v>4.5</v>
      </c>
      <c r="E5" s="4">
        <v>8.5</v>
      </c>
      <c r="F5" s="4">
        <v>7.8</v>
      </c>
      <c r="G5" s="4">
        <v>8.8000000000000007</v>
      </c>
    </row>
    <row r="6" spans="1:7" x14ac:dyDescent="0.25">
      <c r="A6" s="4" t="s">
        <v>26</v>
      </c>
      <c r="B6" s="4" t="s">
        <v>27</v>
      </c>
      <c r="C6" s="4">
        <v>6.7000000000000004E-2</v>
      </c>
      <c r="D6" s="4">
        <v>4.8</v>
      </c>
      <c r="E6" s="4">
        <v>8</v>
      </c>
      <c r="F6" s="4">
        <v>7.2</v>
      </c>
      <c r="G6" s="4">
        <v>8.6</v>
      </c>
    </row>
    <row r="7" spans="1:7" x14ac:dyDescent="0.25">
      <c r="A7" s="4" t="s">
        <v>28</v>
      </c>
      <c r="B7" s="4" t="s">
        <v>29</v>
      </c>
      <c r="C7" s="4">
        <v>0.05</v>
      </c>
      <c r="D7" s="4">
        <v>5.5</v>
      </c>
      <c r="E7" s="4">
        <v>7.8</v>
      </c>
      <c r="F7" s="4">
        <v>7</v>
      </c>
      <c r="G7" s="4">
        <v>8.1999999999999993</v>
      </c>
    </row>
    <row r="8" spans="1:7" x14ac:dyDescent="0.25">
      <c r="A8" s="4" t="s">
        <v>30</v>
      </c>
      <c r="B8" s="4" t="s">
        <v>31</v>
      </c>
      <c r="C8" s="4">
        <v>5.5E-2</v>
      </c>
      <c r="D8" s="4">
        <v>6.5</v>
      </c>
      <c r="E8" s="4">
        <v>7.8</v>
      </c>
      <c r="F8" s="4">
        <v>8</v>
      </c>
      <c r="G8" s="4">
        <v>8.5</v>
      </c>
    </row>
    <row r="9" spans="1:7" x14ac:dyDescent="0.25">
      <c r="A9" s="4" t="s">
        <v>32</v>
      </c>
      <c r="B9" s="4" t="s">
        <v>33</v>
      </c>
      <c r="C9" s="4">
        <v>4.5999999999999999E-2</v>
      </c>
      <c r="D9" s="4">
        <v>7</v>
      </c>
      <c r="E9" s="4">
        <v>7.5</v>
      </c>
      <c r="F9" s="4">
        <v>7.8</v>
      </c>
      <c r="G9" s="4">
        <v>8.1</v>
      </c>
    </row>
    <row r="10" spans="1:7" x14ac:dyDescent="0.25">
      <c r="A10" s="4" t="s">
        <v>34</v>
      </c>
      <c r="B10" s="4" t="s">
        <v>35</v>
      </c>
      <c r="C10" s="4">
        <v>3.6999999999999998E-2</v>
      </c>
      <c r="D10" s="4">
        <v>6.8</v>
      </c>
      <c r="E10" s="4">
        <v>7.4</v>
      </c>
      <c r="F10" s="4">
        <v>7.9</v>
      </c>
      <c r="G10" s="4">
        <v>8</v>
      </c>
    </row>
    <row r="11" spans="1:7" x14ac:dyDescent="0.25">
      <c r="A11" s="4" t="s">
        <v>36</v>
      </c>
      <c r="B11" s="4" t="s">
        <v>37</v>
      </c>
      <c r="C11" s="4">
        <v>5.3999999999999999E-2</v>
      </c>
      <c r="D11" s="4">
        <v>4.8</v>
      </c>
      <c r="E11" s="4">
        <v>8.5</v>
      </c>
      <c r="F11" s="4">
        <v>7</v>
      </c>
      <c r="G11" s="4">
        <v>8.1999999999999993</v>
      </c>
    </row>
    <row r="12" spans="1:7" x14ac:dyDescent="0.25">
      <c r="A12" s="4" t="s">
        <v>38</v>
      </c>
      <c r="B12" s="4" t="s">
        <v>39</v>
      </c>
      <c r="C12" s="4">
        <v>0.04</v>
      </c>
      <c r="D12" s="4">
        <v>5.5</v>
      </c>
      <c r="E12" s="4">
        <v>8</v>
      </c>
      <c r="F12" s="4">
        <v>7.5</v>
      </c>
      <c r="G12" s="4">
        <v>8</v>
      </c>
    </row>
    <row r="13" spans="1:7" x14ac:dyDescent="0.25">
      <c r="A13" s="4" t="s">
        <v>40</v>
      </c>
      <c r="B13" s="4" t="s">
        <v>41</v>
      </c>
      <c r="C13" s="4">
        <v>2.9000000000000001E-2</v>
      </c>
      <c r="D13" s="4">
        <v>8.5</v>
      </c>
      <c r="E13" s="4">
        <v>6.5</v>
      </c>
      <c r="F13" s="4">
        <v>7.2</v>
      </c>
      <c r="G13" s="4">
        <v>8.3000000000000007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tabSelected="1" workbookViewId="0">
      <selection activeCell="I22" sqref="I22:I23"/>
    </sheetView>
  </sheetViews>
  <sheetFormatPr defaultRowHeight="15" x14ac:dyDescent="0.25"/>
  <cols>
    <col min="1" max="1" width="26" style="2" customWidth="1"/>
    <col min="2" max="10" width="26" customWidth="1"/>
  </cols>
  <sheetData>
    <row r="1" spans="1:10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42</v>
      </c>
      <c r="H1" s="7"/>
      <c r="I1" s="7"/>
      <c r="J1" s="7"/>
    </row>
    <row r="2" spans="1:10" x14ac:dyDescent="0.25">
      <c r="A2" s="3" t="s">
        <v>18</v>
      </c>
      <c r="B2" s="3">
        <v>9.6000000000000002E-2</v>
      </c>
      <c r="C2" s="3">
        <v>9</v>
      </c>
      <c r="D2" s="3">
        <v>6</v>
      </c>
      <c r="E2" s="3">
        <v>7.5</v>
      </c>
      <c r="F2" s="3">
        <v>8.1999999999999993</v>
      </c>
      <c r="G2" s="6">
        <f>SQRT(SUMSQ(C2:C13))</f>
        <v>23.60211854897776</v>
      </c>
      <c r="H2" s="6">
        <f>SQRT(SUMSQ(D2:D13))</f>
        <v>25.921612604157172</v>
      </c>
      <c r="I2" s="6">
        <f>SQRT(SUMSQ(E2:E13))</f>
        <v>26.064535292231856</v>
      </c>
      <c r="J2" s="6">
        <f>SQRT(SUMSQ(F2:F13))</f>
        <v>28.535591810929731</v>
      </c>
    </row>
    <row r="3" spans="1:10" x14ac:dyDescent="0.25">
      <c r="A3" s="3" t="s">
        <v>20</v>
      </c>
      <c r="B3" s="3">
        <v>7.0000000000000007E-2</v>
      </c>
      <c r="C3" s="3">
        <v>8.5</v>
      </c>
      <c r="D3" s="3">
        <v>6.5</v>
      </c>
      <c r="E3" s="3">
        <v>7.8</v>
      </c>
      <c r="F3" s="3">
        <v>8</v>
      </c>
      <c r="G3" s="3"/>
      <c r="H3" s="3"/>
      <c r="I3" s="3"/>
      <c r="J3" s="3"/>
    </row>
    <row r="4" spans="1:10" x14ac:dyDescent="0.25">
      <c r="A4" s="3" t="s">
        <v>22</v>
      </c>
      <c r="B4" s="3">
        <v>5.3999999999999999E-2</v>
      </c>
      <c r="C4" s="3">
        <v>8.1999999999999993</v>
      </c>
      <c r="D4" s="3">
        <v>6.8</v>
      </c>
      <c r="E4" s="3">
        <v>7.5</v>
      </c>
      <c r="F4" s="3">
        <v>7.9</v>
      </c>
      <c r="G4" s="3"/>
      <c r="H4" s="3"/>
      <c r="I4" s="3"/>
      <c r="J4" s="3"/>
    </row>
    <row r="5" spans="1:10" x14ac:dyDescent="0.25">
      <c r="A5" s="3" t="s">
        <v>24</v>
      </c>
      <c r="B5" s="3">
        <v>7.4999999999999997E-2</v>
      </c>
      <c r="C5" s="3">
        <v>4.5</v>
      </c>
      <c r="D5" s="3">
        <v>8.5</v>
      </c>
      <c r="E5" s="3">
        <v>7.8</v>
      </c>
      <c r="F5" s="3">
        <v>8.8000000000000007</v>
      </c>
      <c r="G5" s="3"/>
      <c r="H5" s="3"/>
      <c r="I5" s="3"/>
      <c r="J5" s="3"/>
    </row>
    <row r="6" spans="1:10" x14ac:dyDescent="0.25">
      <c r="A6" s="3" t="s">
        <v>26</v>
      </c>
      <c r="B6" s="3">
        <v>6.7000000000000004E-2</v>
      </c>
      <c r="C6" s="3">
        <v>4.8</v>
      </c>
      <c r="D6" s="3">
        <v>8</v>
      </c>
      <c r="E6" s="3">
        <v>7.2</v>
      </c>
      <c r="F6" s="3">
        <v>8.6</v>
      </c>
      <c r="G6" s="3"/>
      <c r="H6" s="3"/>
      <c r="I6" s="3"/>
      <c r="J6" s="3"/>
    </row>
    <row r="7" spans="1:10" x14ac:dyDescent="0.25">
      <c r="A7" s="3" t="s">
        <v>28</v>
      </c>
      <c r="B7" s="3">
        <v>0.05</v>
      </c>
      <c r="C7" s="3">
        <v>5.5</v>
      </c>
      <c r="D7" s="3">
        <v>7.8</v>
      </c>
      <c r="E7" s="3">
        <v>7</v>
      </c>
      <c r="F7" s="3">
        <v>8.1999999999999993</v>
      </c>
      <c r="G7" s="3"/>
      <c r="H7" s="3"/>
      <c r="I7" s="3"/>
      <c r="J7" s="3"/>
    </row>
    <row r="8" spans="1:10" x14ac:dyDescent="0.25">
      <c r="A8" s="3" t="s">
        <v>30</v>
      </c>
      <c r="B8" s="3">
        <v>5.5E-2</v>
      </c>
      <c r="C8" s="3">
        <v>6.5</v>
      </c>
      <c r="D8" s="3">
        <v>7.8</v>
      </c>
      <c r="E8" s="3">
        <v>8</v>
      </c>
      <c r="F8" s="3">
        <v>8.5</v>
      </c>
      <c r="G8" s="3"/>
      <c r="H8" s="3"/>
      <c r="I8" s="3"/>
      <c r="J8" s="3"/>
    </row>
    <row r="9" spans="1:10" x14ac:dyDescent="0.25">
      <c r="A9" s="3" t="s">
        <v>32</v>
      </c>
      <c r="B9" s="3">
        <v>4.5999999999999999E-2</v>
      </c>
      <c r="C9" s="3">
        <v>7</v>
      </c>
      <c r="D9" s="3">
        <v>7.5</v>
      </c>
      <c r="E9" s="3">
        <v>7.8</v>
      </c>
      <c r="F9" s="3">
        <v>8.1</v>
      </c>
      <c r="G9" s="3"/>
      <c r="H9" s="3"/>
      <c r="I9" s="3"/>
      <c r="J9" s="3"/>
    </row>
    <row r="10" spans="1:10" x14ac:dyDescent="0.25">
      <c r="A10" s="3" t="s">
        <v>34</v>
      </c>
      <c r="B10" s="3">
        <v>3.6999999999999998E-2</v>
      </c>
      <c r="C10" s="3">
        <v>6.8</v>
      </c>
      <c r="D10" s="3">
        <v>7.4</v>
      </c>
      <c r="E10" s="3">
        <v>7.9</v>
      </c>
      <c r="F10" s="3">
        <v>8</v>
      </c>
      <c r="G10" s="3"/>
      <c r="H10" s="3"/>
      <c r="I10" s="3"/>
      <c r="J10" s="3"/>
    </row>
    <row r="11" spans="1:10" x14ac:dyDescent="0.25">
      <c r="A11" s="3" t="s">
        <v>36</v>
      </c>
      <c r="B11" s="3">
        <v>5.3999999999999999E-2</v>
      </c>
      <c r="C11" s="3">
        <v>4.8</v>
      </c>
      <c r="D11" s="3">
        <v>8.5</v>
      </c>
      <c r="E11" s="3">
        <v>7</v>
      </c>
      <c r="F11" s="3">
        <v>8.1999999999999993</v>
      </c>
      <c r="G11" s="3"/>
      <c r="H11" s="3"/>
      <c r="I11" s="3"/>
      <c r="J11" s="3"/>
    </row>
    <row r="12" spans="1:10" x14ac:dyDescent="0.25">
      <c r="A12" s="3" t="s">
        <v>38</v>
      </c>
      <c r="B12" s="3">
        <v>0.04</v>
      </c>
      <c r="C12" s="3">
        <v>5.5</v>
      </c>
      <c r="D12" s="3">
        <v>8</v>
      </c>
      <c r="E12" s="3">
        <v>7.5</v>
      </c>
      <c r="F12" s="3">
        <v>8</v>
      </c>
      <c r="G12" s="3"/>
      <c r="H12" s="3"/>
      <c r="I12" s="3"/>
      <c r="J12" s="3"/>
    </row>
    <row r="13" spans="1:10" x14ac:dyDescent="0.25">
      <c r="A13" s="3" t="s">
        <v>40</v>
      </c>
      <c r="B13" s="3">
        <v>2.9000000000000001E-2</v>
      </c>
      <c r="C13" s="3">
        <v>8.5</v>
      </c>
      <c r="D13" s="3">
        <v>6.5</v>
      </c>
      <c r="E13" s="3">
        <v>7.2</v>
      </c>
      <c r="F13" s="3">
        <v>8.3000000000000007</v>
      </c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 t="s">
        <v>9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 t="str">
        <f t="shared" ref="A18:A29" si="0">A2</f>
        <v>C1-1</v>
      </c>
      <c r="B18" s="3"/>
      <c r="C18" s="9">
        <f t="shared" ref="C18:C29" si="1">C2/$G$2</f>
        <v>0.38132170132624821</v>
      </c>
      <c r="D18" s="9">
        <f t="shared" ref="D18:D29" si="2">D2/$H$2</f>
        <v>0.23146708083422832</v>
      </c>
      <c r="E18" s="9">
        <f t="shared" ref="E18:E29" si="3">E2/$I$2</f>
        <v>0.28774731319438729</v>
      </c>
      <c r="F18" s="9">
        <f t="shared" ref="F18:F29" si="4">F2/$J$2</f>
        <v>0.28736043234467729</v>
      </c>
      <c r="G18" s="3"/>
      <c r="H18" s="3"/>
      <c r="I18" s="3"/>
      <c r="J18" s="3"/>
    </row>
    <row r="19" spans="1:10" x14ac:dyDescent="0.25">
      <c r="A19" s="3" t="str">
        <f t="shared" si="0"/>
        <v>C1-2</v>
      </c>
      <c r="B19" s="3"/>
      <c r="C19" s="9">
        <f t="shared" si="1"/>
        <v>0.36013716236367888</v>
      </c>
      <c r="D19" s="9">
        <f t="shared" si="2"/>
        <v>0.25075600423708067</v>
      </c>
      <c r="E19" s="9">
        <f t="shared" si="3"/>
        <v>0.29925720572216274</v>
      </c>
      <c r="F19" s="9">
        <f t="shared" si="4"/>
        <v>0.28035164131188028</v>
      </c>
      <c r="G19" s="3"/>
      <c r="H19" s="3"/>
      <c r="I19" s="3"/>
      <c r="J19" s="3"/>
    </row>
    <row r="20" spans="1:10" x14ac:dyDescent="0.25">
      <c r="A20" s="3" t="str">
        <f t="shared" si="0"/>
        <v>C1-3</v>
      </c>
      <c r="B20" s="3"/>
      <c r="C20" s="9">
        <f t="shared" si="1"/>
        <v>0.34742643898613723</v>
      </c>
      <c r="D20" s="9">
        <f t="shared" si="2"/>
        <v>0.26232935827879211</v>
      </c>
      <c r="E20" s="9">
        <f t="shared" si="3"/>
        <v>0.28774731319438729</v>
      </c>
      <c r="F20" s="9">
        <f t="shared" si="4"/>
        <v>0.27684724579548181</v>
      </c>
      <c r="G20" s="3"/>
      <c r="H20" s="3"/>
      <c r="I20" s="3"/>
      <c r="J20" s="3"/>
    </row>
    <row r="21" spans="1:10" x14ac:dyDescent="0.25">
      <c r="A21" s="3" t="str">
        <f t="shared" si="0"/>
        <v>C2-1</v>
      </c>
      <c r="B21" s="3"/>
      <c r="C21" s="9">
        <f t="shared" si="1"/>
        <v>0.1906608506631241</v>
      </c>
      <c r="D21" s="9">
        <f t="shared" si="2"/>
        <v>0.32791169784849011</v>
      </c>
      <c r="E21" s="9">
        <f t="shared" si="3"/>
        <v>0.29925720572216274</v>
      </c>
      <c r="F21" s="9">
        <f t="shared" si="4"/>
        <v>0.30838680544306835</v>
      </c>
      <c r="G21" s="3"/>
      <c r="H21" s="3"/>
      <c r="I21" s="3"/>
      <c r="J21" s="3"/>
    </row>
    <row r="22" spans="1:10" x14ac:dyDescent="0.25">
      <c r="A22" s="3" t="str">
        <f t="shared" si="0"/>
        <v>C2-2</v>
      </c>
      <c r="B22" s="3"/>
      <c r="C22" s="9">
        <f t="shared" si="1"/>
        <v>0.20337157404066569</v>
      </c>
      <c r="D22" s="9">
        <f t="shared" si="2"/>
        <v>0.30862277444563779</v>
      </c>
      <c r="E22" s="9">
        <f t="shared" si="3"/>
        <v>0.27623742066661178</v>
      </c>
      <c r="F22" s="9">
        <f t="shared" si="4"/>
        <v>0.30137801441027129</v>
      </c>
      <c r="G22" s="3"/>
      <c r="H22" s="3"/>
      <c r="I22" s="3"/>
      <c r="J22" s="3"/>
    </row>
    <row r="23" spans="1:10" x14ac:dyDescent="0.25">
      <c r="A23" s="3" t="str">
        <f t="shared" si="0"/>
        <v>C2-3</v>
      </c>
      <c r="B23" s="3"/>
      <c r="C23" s="9">
        <f t="shared" si="1"/>
        <v>0.2330299285882628</v>
      </c>
      <c r="D23" s="9">
        <f t="shared" si="2"/>
        <v>0.30090720508449681</v>
      </c>
      <c r="E23" s="9">
        <f t="shared" si="3"/>
        <v>0.2685641589814281</v>
      </c>
      <c r="F23" s="9">
        <f t="shared" si="4"/>
        <v>0.28736043234467729</v>
      </c>
      <c r="G23" s="3"/>
      <c r="H23" s="3"/>
      <c r="I23" s="3"/>
      <c r="J23" s="3"/>
    </row>
    <row r="24" spans="1:10" x14ac:dyDescent="0.25">
      <c r="A24" s="3" t="str">
        <f t="shared" si="0"/>
        <v>C3-1</v>
      </c>
      <c r="B24" s="3"/>
      <c r="C24" s="9">
        <f t="shared" si="1"/>
        <v>0.27539900651340149</v>
      </c>
      <c r="D24" s="9">
        <f t="shared" si="2"/>
        <v>0.30090720508449681</v>
      </c>
      <c r="E24" s="9">
        <f t="shared" si="3"/>
        <v>0.30693046740734642</v>
      </c>
      <c r="F24" s="9">
        <f t="shared" si="4"/>
        <v>0.29787361889387282</v>
      </c>
      <c r="G24" s="3"/>
      <c r="H24" s="3"/>
      <c r="I24" s="3"/>
      <c r="J24" s="3"/>
    </row>
    <row r="25" spans="1:10" x14ac:dyDescent="0.25">
      <c r="A25" s="3" t="str">
        <f t="shared" si="0"/>
        <v>C3-2</v>
      </c>
      <c r="B25" s="3"/>
      <c r="C25" s="9">
        <f t="shared" si="1"/>
        <v>0.29658354547597082</v>
      </c>
      <c r="D25" s="9">
        <f t="shared" si="2"/>
        <v>0.28933385104278542</v>
      </c>
      <c r="E25" s="9">
        <f t="shared" si="3"/>
        <v>0.29925720572216274</v>
      </c>
      <c r="F25" s="9">
        <f t="shared" si="4"/>
        <v>0.28385603682827876</v>
      </c>
      <c r="G25" s="3"/>
      <c r="H25" s="3"/>
      <c r="I25" s="3"/>
      <c r="J25" s="3"/>
    </row>
    <row r="26" spans="1:10" x14ac:dyDescent="0.25">
      <c r="A26" s="3" t="str">
        <f t="shared" si="0"/>
        <v>C3-3</v>
      </c>
      <c r="B26" s="3"/>
      <c r="C26" s="9">
        <f t="shared" si="1"/>
        <v>0.28810972989094308</v>
      </c>
      <c r="D26" s="9">
        <f t="shared" si="2"/>
        <v>0.28547606636221495</v>
      </c>
      <c r="E26" s="9">
        <f t="shared" si="3"/>
        <v>0.30309383656475458</v>
      </c>
      <c r="F26" s="9">
        <f t="shared" si="4"/>
        <v>0.28035164131188028</v>
      </c>
      <c r="G26" s="3"/>
      <c r="H26" s="3"/>
      <c r="I26" s="3"/>
      <c r="J26" s="3"/>
    </row>
    <row r="27" spans="1:10" x14ac:dyDescent="0.25">
      <c r="A27" s="3" t="str">
        <f t="shared" si="0"/>
        <v>C4-1</v>
      </c>
      <c r="B27" s="3"/>
      <c r="C27" s="9">
        <f t="shared" si="1"/>
        <v>0.20337157404066569</v>
      </c>
      <c r="D27" s="9">
        <f t="shared" si="2"/>
        <v>0.32791169784849011</v>
      </c>
      <c r="E27" s="9">
        <f t="shared" si="3"/>
        <v>0.2685641589814281</v>
      </c>
      <c r="F27" s="9">
        <f t="shared" si="4"/>
        <v>0.28736043234467729</v>
      </c>
      <c r="G27" s="3"/>
      <c r="H27" s="3"/>
      <c r="I27" s="3"/>
      <c r="J27" s="3"/>
    </row>
    <row r="28" spans="1:10" x14ac:dyDescent="0.25">
      <c r="A28" s="3" t="str">
        <f t="shared" si="0"/>
        <v>C4-2</v>
      </c>
      <c r="B28" s="3"/>
      <c r="C28" s="9">
        <f t="shared" si="1"/>
        <v>0.2330299285882628</v>
      </c>
      <c r="D28" s="9">
        <f t="shared" si="2"/>
        <v>0.30862277444563779</v>
      </c>
      <c r="E28" s="9">
        <f t="shared" si="3"/>
        <v>0.28774731319438729</v>
      </c>
      <c r="F28" s="9">
        <f t="shared" si="4"/>
        <v>0.28035164131188028</v>
      </c>
      <c r="G28" s="3"/>
      <c r="H28" s="3"/>
      <c r="I28" s="3"/>
      <c r="J28" s="3"/>
    </row>
    <row r="29" spans="1:10" x14ac:dyDescent="0.25">
      <c r="A29" s="3" t="str">
        <f t="shared" si="0"/>
        <v>C4-3</v>
      </c>
      <c r="B29" s="3"/>
      <c r="C29" s="9">
        <f t="shared" si="1"/>
        <v>0.36013716236367888</v>
      </c>
      <c r="D29" s="9">
        <f t="shared" si="2"/>
        <v>0.25075600423708067</v>
      </c>
      <c r="E29" s="9">
        <f t="shared" si="3"/>
        <v>0.27623742066661178</v>
      </c>
      <c r="F29" s="9">
        <f t="shared" si="4"/>
        <v>0.29086482786107581</v>
      </c>
      <c r="G29" s="3"/>
      <c r="H29" s="3"/>
      <c r="I29" s="3"/>
      <c r="J29" s="3"/>
    </row>
    <row r="30" spans="1:10" x14ac:dyDescent="0.25">
      <c r="A30" s="3"/>
      <c r="B30" s="3"/>
      <c r="C30" s="9"/>
      <c r="D30" s="9"/>
      <c r="E30" s="9"/>
      <c r="F30" s="9"/>
      <c r="G30" s="3"/>
      <c r="H30" s="3"/>
      <c r="I30" s="3"/>
      <c r="J30" s="3"/>
    </row>
    <row r="31" spans="1:10" x14ac:dyDescent="0.25">
      <c r="A31" s="3"/>
      <c r="B31" s="3"/>
      <c r="C31" s="9"/>
      <c r="D31" s="9"/>
      <c r="E31" s="9"/>
      <c r="F31" s="9"/>
      <c r="G31" s="3"/>
      <c r="H31" s="3"/>
      <c r="I31" s="3"/>
      <c r="J31" s="3"/>
    </row>
    <row r="32" spans="1:10" x14ac:dyDescent="0.25">
      <c r="A32" s="3"/>
      <c r="B32" s="3"/>
      <c r="C32" s="9"/>
      <c r="D32" s="9"/>
      <c r="E32" s="9"/>
      <c r="F32" s="9"/>
      <c r="G32" s="3"/>
      <c r="H32" s="3"/>
      <c r="I32" s="3"/>
      <c r="J32" s="3"/>
    </row>
    <row r="33" spans="1:10" x14ac:dyDescent="0.25">
      <c r="A33" s="3"/>
      <c r="B33" s="3"/>
      <c r="C33" s="9"/>
      <c r="D33" s="9"/>
      <c r="E33" s="9"/>
      <c r="F33" s="9"/>
      <c r="G33" s="3"/>
      <c r="H33" s="3"/>
      <c r="I33" s="3"/>
      <c r="J33" s="3"/>
    </row>
    <row r="34" spans="1:10" x14ac:dyDescent="0.25">
      <c r="A34" s="3"/>
      <c r="B34" s="3"/>
      <c r="C34" s="9"/>
      <c r="D34" s="9"/>
      <c r="E34" s="9"/>
      <c r="F34" s="9"/>
      <c r="G34" s="3"/>
      <c r="H34" s="3"/>
      <c r="I34" s="3"/>
      <c r="J34" s="3"/>
    </row>
    <row r="35" spans="1:10" x14ac:dyDescent="0.25">
      <c r="A35" s="3" t="s">
        <v>43</v>
      </c>
      <c r="B35" s="3"/>
      <c r="C35" s="9"/>
      <c r="D35" s="9"/>
      <c r="E35" s="9"/>
      <c r="F35" s="9"/>
      <c r="G35" s="3"/>
      <c r="H35" s="3"/>
      <c r="I35" s="3"/>
      <c r="J35" s="3"/>
    </row>
    <row r="36" spans="1:10" x14ac:dyDescent="0.25">
      <c r="A36" s="3" t="str">
        <f t="shared" ref="A36:A47" si="5">A18</f>
        <v>C1-1</v>
      </c>
      <c r="B36" s="3"/>
      <c r="C36" s="9">
        <f t="shared" ref="C36:F47" si="6">C18*$B2</f>
        <v>3.6606883327319831E-2</v>
      </c>
      <c r="D36" s="9">
        <f t="shared" si="6"/>
        <v>2.222083976008592E-2</v>
      </c>
      <c r="E36" s="9">
        <f t="shared" si="6"/>
        <v>2.762374206666118E-2</v>
      </c>
      <c r="F36" s="9">
        <f t="shared" si="6"/>
        <v>2.7586601505089021E-2</v>
      </c>
      <c r="G36" s="3"/>
      <c r="H36" s="3"/>
      <c r="I36" s="3"/>
      <c r="J36" s="3"/>
    </row>
    <row r="37" spans="1:10" x14ac:dyDescent="0.25">
      <c r="A37" s="3" t="str">
        <f t="shared" si="5"/>
        <v>C1-2</v>
      </c>
      <c r="B37" s="3"/>
      <c r="C37" s="9">
        <f t="shared" si="6"/>
        <v>2.5209601365457524E-2</v>
      </c>
      <c r="D37" s="9">
        <f t="shared" si="6"/>
        <v>1.7552920296595647E-2</v>
      </c>
      <c r="E37" s="9">
        <f t="shared" si="6"/>
        <v>2.0948004400551393E-2</v>
      </c>
      <c r="F37" s="9">
        <f t="shared" si="6"/>
        <v>1.9624614891831621E-2</v>
      </c>
      <c r="G37" s="3"/>
      <c r="H37" s="3"/>
      <c r="I37" s="3"/>
      <c r="J37" s="3"/>
    </row>
    <row r="38" spans="1:10" x14ac:dyDescent="0.25">
      <c r="A38" s="3" t="str">
        <f t="shared" si="5"/>
        <v>C1-3</v>
      </c>
      <c r="B38" s="3"/>
      <c r="C38" s="9">
        <f t="shared" si="6"/>
        <v>1.8761027705251409E-2</v>
      </c>
      <c r="D38" s="9">
        <f t="shared" si="6"/>
        <v>1.4165785347054774E-2</v>
      </c>
      <c r="E38" s="9">
        <f t="shared" si="6"/>
        <v>1.5538354912496914E-2</v>
      </c>
      <c r="F38" s="9">
        <f t="shared" si="6"/>
        <v>1.4949751272956018E-2</v>
      </c>
      <c r="G38" s="3"/>
      <c r="H38" s="3"/>
      <c r="I38" s="3"/>
      <c r="J38" s="3"/>
    </row>
    <row r="39" spans="1:10" x14ac:dyDescent="0.25">
      <c r="A39" s="3" t="str">
        <f t="shared" si="5"/>
        <v>C2-1</v>
      </c>
      <c r="B39" s="3"/>
      <c r="C39" s="9">
        <f t="shared" si="6"/>
        <v>1.4299563799734308E-2</v>
      </c>
      <c r="D39" s="9">
        <f t="shared" si="6"/>
        <v>2.4593377338636757E-2</v>
      </c>
      <c r="E39" s="9">
        <f t="shared" si="6"/>
        <v>2.2444290429162204E-2</v>
      </c>
      <c r="F39" s="9">
        <f t="shared" si="6"/>
        <v>2.3129010408230125E-2</v>
      </c>
      <c r="G39" s="3"/>
      <c r="H39" s="3"/>
      <c r="I39" s="3"/>
      <c r="J39" s="3"/>
    </row>
    <row r="40" spans="1:10" x14ac:dyDescent="0.25">
      <c r="A40" s="3" t="str">
        <f t="shared" si="5"/>
        <v>C2-2</v>
      </c>
      <c r="B40" s="3"/>
      <c r="C40" s="9">
        <f t="shared" si="6"/>
        <v>1.3625895460724602E-2</v>
      </c>
      <c r="D40" s="9">
        <f t="shared" si="6"/>
        <v>2.0677725887857733E-2</v>
      </c>
      <c r="E40" s="9">
        <f t="shared" si="6"/>
        <v>1.850790718466299E-2</v>
      </c>
      <c r="F40" s="9">
        <f t="shared" si="6"/>
        <v>2.0192326965488179E-2</v>
      </c>
      <c r="G40" s="3"/>
      <c r="H40" s="3"/>
      <c r="I40" s="3"/>
      <c r="J40" s="3"/>
    </row>
    <row r="41" spans="1:10" x14ac:dyDescent="0.25">
      <c r="A41" s="3" t="str">
        <f t="shared" si="5"/>
        <v>C2-3</v>
      </c>
      <c r="B41" s="3"/>
      <c r="C41" s="9">
        <f t="shared" si="6"/>
        <v>1.1651496429413141E-2</v>
      </c>
      <c r="D41" s="9">
        <f t="shared" si="6"/>
        <v>1.5045360254224842E-2</v>
      </c>
      <c r="E41" s="9">
        <f t="shared" si="6"/>
        <v>1.3428207949071406E-2</v>
      </c>
      <c r="F41" s="9">
        <f t="shared" si="6"/>
        <v>1.4368021617233865E-2</v>
      </c>
      <c r="G41" s="3"/>
      <c r="H41" s="3"/>
      <c r="I41" s="3"/>
      <c r="J41" s="3"/>
    </row>
    <row r="42" spans="1:10" x14ac:dyDescent="0.25">
      <c r="A42" s="3" t="str">
        <f t="shared" si="5"/>
        <v>C3-1</v>
      </c>
      <c r="B42" s="3"/>
      <c r="C42" s="9">
        <f t="shared" si="6"/>
        <v>1.5146945358237083E-2</v>
      </c>
      <c r="D42" s="9">
        <f t="shared" si="6"/>
        <v>1.6549896279647324E-2</v>
      </c>
      <c r="E42" s="9">
        <f t="shared" si="6"/>
        <v>1.6881175707404054E-2</v>
      </c>
      <c r="F42" s="9">
        <f t="shared" si="6"/>
        <v>1.6383049039163006E-2</v>
      </c>
      <c r="G42" s="3"/>
      <c r="H42" s="3"/>
      <c r="I42" s="3"/>
      <c r="J42" s="3"/>
    </row>
    <row r="43" spans="1:10" x14ac:dyDescent="0.25">
      <c r="A43" s="3" t="str">
        <f t="shared" si="5"/>
        <v>C3-2</v>
      </c>
      <c r="B43" s="3"/>
      <c r="C43" s="9">
        <f t="shared" si="6"/>
        <v>1.3642843091894657E-2</v>
      </c>
      <c r="D43" s="9">
        <f t="shared" si="6"/>
        <v>1.3309357147968128E-2</v>
      </c>
      <c r="E43" s="9">
        <f t="shared" si="6"/>
        <v>1.3765831463219486E-2</v>
      </c>
      <c r="F43" s="9">
        <f t="shared" si="6"/>
        <v>1.3057377694100822E-2</v>
      </c>
      <c r="G43" s="3"/>
      <c r="H43" s="3"/>
      <c r="I43" s="3"/>
      <c r="J43" s="3"/>
    </row>
    <row r="44" spans="1:10" x14ac:dyDescent="0.25">
      <c r="A44" s="3" t="str">
        <f t="shared" si="5"/>
        <v>C3-3</v>
      </c>
      <c r="B44" s="3"/>
      <c r="C44" s="9">
        <f t="shared" si="6"/>
        <v>1.0660060005964894E-2</v>
      </c>
      <c r="D44" s="9">
        <f t="shared" si="6"/>
        <v>1.0562614455401952E-2</v>
      </c>
      <c r="E44" s="9">
        <f t="shared" si="6"/>
        <v>1.1214471952895919E-2</v>
      </c>
      <c r="F44" s="9">
        <f t="shared" si="6"/>
        <v>1.0373010728539569E-2</v>
      </c>
      <c r="G44" s="3"/>
      <c r="H44" s="3"/>
      <c r="I44" s="3"/>
      <c r="J44" s="3"/>
    </row>
    <row r="45" spans="1:10" x14ac:dyDescent="0.25">
      <c r="A45" s="3" t="str">
        <f t="shared" si="5"/>
        <v>C4-1</v>
      </c>
      <c r="B45" s="3"/>
      <c r="C45" s="9">
        <f t="shared" si="6"/>
        <v>1.0982064998195947E-2</v>
      </c>
      <c r="D45" s="9">
        <f t="shared" si="6"/>
        <v>1.7707231683818467E-2</v>
      </c>
      <c r="E45" s="9">
        <f t="shared" si="6"/>
        <v>1.4502464584997118E-2</v>
      </c>
      <c r="F45" s="9">
        <f t="shared" si="6"/>
        <v>1.5517463346612572E-2</v>
      </c>
      <c r="G45" s="3"/>
      <c r="H45" s="3"/>
      <c r="I45" s="3"/>
      <c r="J45" s="3"/>
    </row>
    <row r="46" spans="1:10" x14ac:dyDescent="0.25">
      <c r="A46" s="3" t="str">
        <f t="shared" si="5"/>
        <v>C4-2</v>
      </c>
      <c r="B46" s="3"/>
      <c r="C46" s="9">
        <f t="shared" si="6"/>
        <v>9.3211971435305119E-3</v>
      </c>
      <c r="D46" s="9">
        <f t="shared" si="6"/>
        <v>1.2344910977825512E-2</v>
      </c>
      <c r="E46" s="9">
        <f t="shared" si="6"/>
        <v>1.1509892527775492E-2</v>
      </c>
      <c r="F46" s="9">
        <f t="shared" si="6"/>
        <v>1.1214065652475212E-2</v>
      </c>
      <c r="G46" s="3"/>
      <c r="H46" s="3"/>
      <c r="I46" s="3"/>
      <c r="J46" s="3"/>
    </row>
    <row r="47" spans="1:10" x14ac:dyDescent="0.25">
      <c r="A47" s="3" t="str">
        <f t="shared" si="5"/>
        <v>C4-3</v>
      </c>
      <c r="B47" s="3"/>
      <c r="C47" s="9">
        <f t="shared" si="6"/>
        <v>1.0443977708546688E-2</v>
      </c>
      <c r="D47" s="9">
        <f t="shared" si="6"/>
        <v>7.27192412287534E-3</v>
      </c>
      <c r="E47" s="9">
        <f t="shared" si="6"/>
        <v>8.0108851993317427E-3</v>
      </c>
      <c r="F47" s="9">
        <f t="shared" si="6"/>
        <v>8.4350800079711994E-3</v>
      </c>
      <c r="G47" s="3"/>
      <c r="H47" s="3"/>
      <c r="I47" s="3"/>
      <c r="J47" s="3"/>
    </row>
    <row r="48" spans="1:10" x14ac:dyDescent="0.25">
      <c r="A48" s="3"/>
      <c r="B48" s="3"/>
      <c r="C48" s="9"/>
      <c r="D48" s="9"/>
      <c r="E48" s="9"/>
      <c r="F48" s="9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18" t="s">
        <v>44</v>
      </c>
      <c r="B55" s="18"/>
      <c r="C55" s="19">
        <f>MAX(C36:C47)</f>
        <v>3.6606883327319831E-2</v>
      </c>
      <c r="D55" s="19">
        <f>MAX(D36:D47)</f>
        <v>2.4593377338636757E-2</v>
      </c>
      <c r="E55" s="19">
        <f>MAX(E36:E47)</f>
        <v>2.762374206666118E-2</v>
      </c>
      <c r="F55" s="19">
        <f>MAX(F36:F47)</f>
        <v>2.7586601505089021E-2</v>
      </c>
      <c r="G55" s="3"/>
      <c r="H55" s="3"/>
      <c r="I55" s="3"/>
      <c r="J55" s="3"/>
    </row>
    <row r="56" spans="1:10" x14ac:dyDescent="0.25">
      <c r="A56" s="18" t="s">
        <v>45</v>
      </c>
      <c r="B56" s="18"/>
      <c r="C56" s="19">
        <f>MIN(C36:C47)</f>
        <v>9.3211971435305119E-3</v>
      </c>
      <c r="D56" s="19">
        <f>MIN(D36:D47)</f>
        <v>7.27192412287534E-3</v>
      </c>
      <c r="E56" s="19">
        <f>MIN(E36:E47)</f>
        <v>8.0108851993317427E-3</v>
      </c>
      <c r="F56" s="19">
        <f>MIN(F36:F47)</f>
        <v>8.4350800079711994E-3</v>
      </c>
      <c r="G56" s="3"/>
      <c r="H56" s="3"/>
      <c r="I56" s="3"/>
      <c r="J56" s="3"/>
    </row>
    <row r="57" spans="1:10" x14ac:dyDescent="0.25">
      <c r="A57" s="18"/>
      <c r="B57" s="18"/>
      <c r="C57" s="19"/>
      <c r="D57" s="19"/>
      <c r="E57" s="19"/>
      <c r="F57" s="19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s="5" customFormat="1" x14ac:dyDescent="0.25">
      <c r="A60" s="11" t="s">
        <v>46</v>
      </c>
      <c r="B60" s="11" t="s">
        <v>47</v>
      </c>
      <c r="C60" s="11" t="s">
        <v>48</v>
      </c>
      <c r="D60" s="11" t="s">
        <v>49</v>
      </c>
      <c r="E60" s="3"/>
      <c r="F60" s="3"/>
      <c r="G60" s="3"/>
      <c r="H60" s="3"/>
      <c r="I60" s="3"/>
      <c r="J60" s="3"/>
    </row>
    <row r="61" spans="1:10" x14ac:dyDescent="0.25">
      <c r="A61" s="11" t="s">
        <v>14</v>
      </c>
      <c r="B61" s="12">
        <f t="array" ref="B61">SQRT(SUMPRODUCT((C36:C47-C$55)^2))</f>
        <v>7.644368894444388E-2</v>
      </c>
      <c r="C61" s="12">
        <f t="array" ref="C61">SQRT(SUMPRODUCT((C36:C47-C$56)^2))</f>
        <v>3.4543204181972376E-2</v>
      </c>
      <c r="D61" s="12">
        <f>C61/(B61+C61)</f>
        <v>0.31123678849742181</v>
      </c>
      <c r="E61" s="3"/>
      <c r="F61" s="3"/>
      <c r="G61" s="3"/>
      <c r="H61" s="3"/>
      <c r="I61" s="3"/>
      <c r="J61" s="3"/>
    </row>
    <row r="62" spans="1:10" x14ac:dyDescent="0.25">
      <c r="A62" s="11" t="s">
        <v>15</v>
      </c>
      <c r="B62" s="12">
        <f t="array" ref="B62">SQRT(SUMPRODUCT((D37:D47-D$55)^2))</f>
        <v>3.3928827633803504E-2</v>
      </c>
      <c r="C62" s="12">
        <f t="array" ref="C62">SQRT(SUMPRODUCT((D37:D47-D$56)^2))</f>
        <v>3.1006283619923847E-2</v>
      </c>
      <c r="D62" s="12">
        <f>C62/(B62+C62)</f>
        <v>0.47749642714509172</v>
      </c>
      <c r="E62" s="3"/>
      <c r="F62" s="3"/>
      <c r="G62" s="3"/>
      <c r="H62" s="3"/>
      <c r="I62" s="3"/>
      <c r="J62" s="3"/>
    </row>
    <row r="63" spans="1:10" x14ac:dyDescent="0.25">
      <c r="A63" s="11" t="s">
        <v>16</v>
      </c>
      <c r="B63" s="12">
        <f t="array" ref="B63">SQRT(SUMPRODUCT((E38:E47-E$55)^2))</f>
        <v>4.3019666718424214E-2</v>
      </c>
      <c r="C63" s="12">
        <f t="array" ref="C63">SQRT(SUMPRODUCT((E38:E47-E$56)^2))</f>
        <v>2.4103297007605301E-2</v>
      </c>
      <c r="D63" s="12">
        <f>C63/(B63+C63)</f>
        <v>0.35909166803161163</v>
      </c>
      <c r="E63" s="3"/>
      <c r="F63" s="3"/>
      <c r="G63" s="3"/>
      <c r="H63" s="3"/>
      <c r="I63" s="3"/>
      <c r="J63" s="3"/>
    </row>
    <row r="64" spans="1:10" x14ac:dyDescent="0.25">
      <c r="A64" s="11" t="s">
        <v>17</v>
      </c>
      <c r="B64" s="12">
        <f t="array" ref="B64">SQRT(SUMPRODUCT((F39:F47-F$55)^2))</f>
        <v>4.077630084034755E-2</v>
      </c>
      <c r="C64" s="12">
        <f t="array" ref="C64">SQRT(SUMPRODUCT((F39:F47-F$56)^2))</f>
        <v>2.3141274399482544E-2</v>
      </c>
      <c r="D64" s="12">
        <f>C64/(B64+C64)</f>
        <v>0.36204869024915876</v>
      </c>
      <c r="E64" s="3"/>
      <c r="F64" s="3"/>
      <c r="G64" s="3"/>
      <c r="H64" s="3"/>
      <c r="I64" s="3"/>
      <c r="J64" s="3"/>
    </row>
    <row r="65" spans="1:4" x14ac:dyDescent="0.25">
      <c r="A65" s="16"/>
      <c r="B65" s="17"/>
      <c r="C65" s="17"/>
      <c r="D65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B2" sqref="B2:E10"/>
    </sheetView>
  </sheetViews>
  <sheetFormatPr defaultRowHeight="15" x14ac:dyDescent="0.25"/>
  <cols>
    <col min="1" max="1" width="26" style="5" customWidth="1"/>
    <col min="2" max="5" width="26" customWidth="1"/>
  </cols>
  <sheetData>
    <row r="1" spans="1:5" x14ac:dyDescent="0.25">
      <c r="A1" s="8" t="s">
        <v>50</v>
      </c>
      <c r="B1" s="8" t="s">
        <v>14</v>
      </c>
      <c r="C1" s="8" t="s">
        <v>15</v>
      </c>
      <c r="D1" s="8" t="s">
        <v>16</v>
      </c>
      <c r="E1" s="8" t="s">
        <v>17</v>
      </c>
    </row>
    <row r="2" spans="1:5" x14ac:dyDescent="0.25">
      <c r="A2" s="4">
        <v>-20</v>
      </c>
      <c r="B2" s="15">
        <v>0.33939019328048098</v>
      </c>
      <c r="C2" s="15">
        <v>0.62802552581009408</v>
      </c>
      <c r="D2" s="15">
        <v>0.64549534165674471</v>
      </c>
      <c r="E2" s="15">
        <v>0.88661424683833745</v>
      </c>
    </row>
    <row r="3" spans="1:5" x14ac:dyDescent="0.25">
      <c r="A3" s="4">
        <v>-15</v>
      </c>
      <c r="B3" s="15">
        <v>0.35249537437479889</v>
      </c>
      <c r="C3" s="15">
        <v>0.61532685225083206</v>
      </c>
      <c r="D3" s="15">
        <v>0.64242333737686608</v>
      </c>
      <c r="E3" s="15">
        <v>0.88159131679279779</v>
      </c>
    </row>
    <row r="4" spans="1:5" x14ac:dyDescent="0.25">
      <c r="A4" s="4">
        <v>-10</v>
      </c>
      <c r="B4" s="15">
        <v>0.36512136073967311</v>
      </c>
      <c r="C4" s="15">
        <v>0.60305831476094829</v>
      </c>
      <c r="D4" s="15">
        <v>0.63934377980307255</v>
      </c>
      <c r="E4" s="15">
        <v>0.87672550748906442</v>
      </c>
    </row>
    <row r="5" spans="1:5" x14ac:dyDescent="0.25">
      <c r="A5" s="4">
        <v>-5</v>
      </c>
      <c r="B5" s="15">
        <v>0.37728936915761219</v>
      </c>
      <c r="C5" s="15">
        <v>0.59120916404017898</v>
      </c>
      <c r="D5" s="15">
        <v>0.63627093265784396</v>
      </c>
      <c r="E5" s="15">
        <v>0.87201770196720396</v>
      </c>
    </row>
    <row r="6" spans="1:5" x14ac:dyDescent="0.25">
      <c r="A6" s="4">
        <v>0</v>
      </c>
      <c r="B6" s="15">
        <v>0.38902030752805922</v>
      </c>
      <c r="C6" s="15">
        <v>0.5797666838770591</v>
      </c>
      <c r="D6" s="15">
        <v>0.63321737147367541</v>
      </c>
      <c r="E6" s="15">
        <v>0.86746763146942185</v>
      </c>
    </row>
    <row r="7" spans="1:5" x14ac:dyDescent="0.25">
      <c r="A7" s="4">
        <v>5</v>
      </c>
      <c r="B7" s="15">
        <v>0.40033450941480009</v>
      </c>
      <c r="C7" s="15">
        <v>0.56871696727341148</v>
      </c>
      <c r="D7" s="15">
        <v>0.63019405080115898</v>
      </c>
      <c r="E7" s="15">
        <v>0.8630741029371708</v>
      </c>
    </row>
    <row r="8" spans="1:5" x14ac:dyDescent="0.25">
      <c r="A8" s="4">
        <v>10</v>
      </c>
      <c r="B8" s="15">
        <v>0.41125157259601852</v>
      </c>
      <c r="C8" s="15">
        <v>0.55804546909377595</v>
      </c>
      <c r="D8" s="15">
        <v>0.62721039341744722</v>
      </c>
      <c r="E8" s="15">
        <v>0.85883518019385041</v>
      </c>
    </row>
    <row r="9" spans="1:5" x14ac:dyDescent="0.25">
      <c r="A9" s="4">
        <v>15</v>
      </c>
      <c r="B9" s="15">
        <v>0.42179026747061499</v>
      </c>
      <c r="C9" s="15">
        <v>0.54773739826675216</v>
      </c>
      <c r="D9" s="15">
        <v>0.62427439433465148</v>
      </c>
      <c r="E9" s="15">
        <v>0.85474833065017031</v>
      </c>
    </row>
    <row r="10" spans="1:5" x14ac:dyDescent="0.25">
      <c r="A10" s="4">
        <v>20</v>
      </c>
      <c r="B10" s="15">
        <v>0.43196849244993291</v>
      </c>
      <c r="C10" s="15">
        <v>0.53777799425431361</v>
      </c>
      <c r="D10" s="15">
        <v>0.62139273360295777</v>
      </c>
      <c r="E10" s="15">
        <v>0.85081054575552817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E21" sqref="E21"/>
    </sheetView>
  </sheetViews>
  <sheetFormatPr defaultRowHeight="15" x14ac:dyDescent="0.25"/>
  <cols>
    <col min="1" max="5" width="26" customWidth="1"/>
  </cols>
  <sheetData>
    <row r="1" spans="1:5" x14ac:dyDescent="0.25">
      <c r="A1" s="4" t="s">
        <v>51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25">
      <c r="A2" s="4">
        <v>-15</v>
      </c>
      <c r="B2" s="15">
        <v>0.39105702465691999</v>
      </c>
      <c r="C2" s="15">
        <v>0.57963355653715121</v>
      </c>
      <c r="D2" s="15">
        <v>0.63180369039459661</v>
      </c>
      <c r="E2" s="15">
        <v>0.86664599433927314</v>
      </c>
    </row>
    <row r="3" spans="1:5" x14ac:dyDescent="0.25">
      <c r="A3" s="4">
        <v>-10</v>
      </c>
      <c r="B3" s="15">
        <v>0.39041062949716221</v>
      </c>
      <c r="C3" s="15">
        <v>0.57967574144030853</v>
      </c>
      <c r="D3" s="15">
        <v>0.6322530583337963</v>
      </c>
      <c r="E3" s="15">
        <v>0.86690680112931096</v>
      </c>
    </row>
    <row r="4" spans="1:5" x14ac:dyDescent="0.25">
      <c r="A4" s="4">
        <v>-5</v>
      </c>
      <c r="B4" s="15">
        <v>0.38973150763642123</v>
      </c>
      <c r="C4" s="15">
        <v>0.5797201282546407</v>
      </c>
      <c r="D4" s="15">
        <v>0.63272447038632051</v>
      </c>
      <c r="E4" s="15">
        <v>0.8671807698183529</v>
      </c>
    </row>
    <row r="5" spans="1:5" x14ac:dyDescent="0.25">
      <c r="A5" s="4">
        <v>0</v>
      </c>
      <c r="B5" s="15">
        <v>0.38902030752805922</v>
      </c>
      <c r="C5" s="15">
        <v>0.5797666838770591</v>
      </c>
      <c r="D5" s="15">
        <v>0.63321737147367541</v>
      </c>
      <c r="E5" s="15">
        <v>0.86746763146942185</v>
      </c>
    </row>
    <row r="6" spans="1:5" x14ac:dyDescent="0.25">
      <c r="A6" s="4">
        <v>5</v>
      </c>
      <c r="B6" s="15">
        <v>0.38827769934258238</v>
      </c>
      <c r="C6" s="15">
        <v>0.57981537384797355</v>
      </c>
      <c r="D6" s="15">
        <v>0.63373118913160653</v>
      </c>
      <c r="E6" s="15">
        <v>0.8677671079669107</v>
      </c>
    </row>
    <row r="7" spans="1:5" x14ac:dyDescent="0.25">
      <c r="A7" s="4">
        <v>10</v>
      </c>
      <c r="B7" s="15">
        <v>0.38750437322141967</v>
      </c>
      <c r="C7" s="15">
        <v>0.57986616241285005</v>
      </c>
      <c r="D7" s="15">
        <v>0.63426533514377414</v>
      </c>
      <c r="E7" s="15">
        <v>0.86807891272731608</v>
      </c>
    </row>
    <row r="8" spans="1:5" x14ac:dyDescent="0.25">
      <c r="A8" s="4">
        <v>15</v>
      </c>
      <c r="B8" s="15">
        <v>0.38670103752074009</v>
      </c>
      <c r="C8" s="15">
        <v>0.57991901258531531</v>
      </c>
      <c r="D8" s="15">
        <v>0.63481920718015439</v>
      </c>
      <c r="E8" s="15">
        <v>0.86840275141604506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B2" sqref="B2:E6"/>
    </sheetView>
  </sheetViews>
  <sheetFormatPr defaultRowHeight="15" x14ac:dyDescent="0.25"/>
  <cols>
    <col min="1" max="5" width="26" customWidth="1"/>
  </cols>
  <sheetData>
    <row r="1" spans="1:5" x14ac:dyDescent="0.25">
      <c r="A1" s="4" t="s">
        <v>52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25">
      <c r="A2" s="13">
        <v>-10</v>
      </c>
      <c r="B2" s="14">
        <v>0.39305070416337767</v>
      </c>
      <c r="C2" s="14">
        <v>0.57443962533073156</v>
      </c>
      <c r="D2" s="14">
        <v>0.63380849637337366</v>
      </c>
      <c r="E2" s="14">
        <v>0.86618311628770694</v>
      </c>
    </row>
    <row r="3" spans="1:5" x14ac:dyDescent="0.25">
      <c r="A3" s="13">
        <v>-5</v>
      </c>
      <c r="B3" s="14">
        <v>0.391063738723683</v>
      </c>
      <c r="C3" s="14">
        <v>0.57707177805917964</v>
      </c>
      <c r="D3" s="14">
        <v>0.63351627686158185</v>
      </c>
      <c r="E3" s="14">
        <v>0.86681598934787074</v>
      </c>
    </row>
    <row r="4" spans="1:5" x14ac:dyDescent="0.25">
      <c r="A4" s="13">
        <v>0</v>
      </c>
      <c r="B4" s="14">
        <v>0.38902030752805922</v>
      </c>
      <c r="C4" s="14">
        <v>0.5797666838770591</v>
      </c>
      <c r="D4" s="14">
        <v>0.63321737147367541</v>
      </c>
      <c r="E4" s="14">
        <v>0.86746763146942185</v>
      </c>
    </row>
    <row r="5" spans="1:5" x14ac:dyDescent="0.25">
      <c r="A5" s="13">
        <v>5</v>
      </c>
      <c r="B5" s="14">
        <v>0.38692613578114882</v>
      </c>
      <c r="C5" s="14">
        <v>0.58251611857854879</v>
      </c>
      <c r="D5" s="14">
        <v>0.63291276604176505</v>
      </c>
      <c r="E5" s="14">
        <v>0.86813623851475197</v>
      </c>
    </row>
    <row r="6" spans="1:5" x14ac:dyDescent="0.25">
      <c r="A6" s="13">
        <v>10</v>
      </c>
      <c r="B6" s="14">
        <v>0.38478680719143382</v>
      </c>
      <c r="C6" s="14">
        <v>0.58531218901850124</v>
      </c>
      <c r="D6" s="14">
        <v>0.6326034126076725</v>
      </c>
      <c r="E6" s="14">
        <v>0.86882003827870613</v>
      </c>
    </row>
    <row r="7" spans="1:5" x14ac:dyDescent="0.25">
      <c r="A7" s="5"/>
      <c r="B7" s="5"/>
      <c r="C7" s="5"/>
      <c r="D7" s="5"/>
      <c r="E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AHPMainCriteria</vt:lpstr>
      <vt:lpstr>DecisionMatrix</vt:lpstr>
      <vt:lpstr>TOPSIS</vt:lpstr>
      <vt:lpstr>SensitivityAnalysis</vt:lpstr>
      <vt:lpstr>SensitivityC3</vt:lpstr>
      <vt:lpstr>SensitivityC4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Zolfaghari</cp:lastModifiedBy>
  <dcterms:created xsi:type="dcterms:W3CDTF">2026-05-23T18:43:18Z</dcterms:created>
  <dcterms:modified xsi:type="dcterms:W3CDTF">2026-05-23T20:01:54Z</dcterms:modified>
</cp:coreProperties>
</file>